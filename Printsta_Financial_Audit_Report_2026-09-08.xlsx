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" documentId="11_07589EF007D4F7B699E064999117C96D98186477" xr6:coauthVersionLast="47" xr6:coauthVersionMax="47" xr10:uidLastSave="{5E2BF7FA-F733-4C1D-ADC5-3D0D75E9A5B4}"/>
  <bookViews>
    <workbookView xWindow="4056" yWindow="2628" windowWidth="17280" windowHeight="8880" xr2:uid="{00000000-000D-0000-FFFF-FFFF00000000}"/>
  </bookViews>
  <sheets>
    <sheet name="📊 Earnings Summary" sheetId="1" r:id="rId1"/>
    <sheet name="💳 Itemized Transactions" sheetId="2" r:id="rId2"/>
    <sheet name="🏛️ Department Analy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<sst xmlns="http://schemas.openxmlformats.org/spreadsheetml/2006/main" count="169" uniqueCount="114">
  <si>
    <t>SRI ESHWAR COLLEGE OF ENGINEERING (Autonomous)</t>
  </si>
  <si>
    <t>PRINTSTA — COMPREHENSIVE FINANCIAL EARNINGS &amp; REVENUE AUDIT REPORT</t>
  </si>
  <si>
    <t>Report Period: Last 7 Days (Since 2/9/2026)   |   Generated On: 8/9/2026, 5:19:20 pm IST   |   Classification: Institutional Financial Audit</t>
  </si>
  <si>
    <t>1. FINANCIAL KEY PERFORMANCE INDICATORS (KPIs)</t>
  </si>
  <si>
    <t>Metric Description</t>
  </si>
  <si>
    <t>Value</t>
  </si>
  <si>
    <t/>
  </si>
  <si>
    <t>Revenue Breakdown Stream</t>
  </si>
  <si>
    <t>Amount (INR)</t>
  </si>
  <si>
    <t>Total Gross Revenue</t>
  </si>
  <si>
    <t>B&amp;W Print Collections</t>
  </si>
  <si>
    <t>Total Orders Processed</t>
  </si>
  <si>
    <t>Color Print Collections</t>
  </si>
  <si>
    <t>Average Order Value (AOV)</t>
  </si>
  <si>
    <t>Binding Fees Collected</t>
  </si>
  <si>
    <t>Total Pages Printed</t>
  </si>
  <si>
    <t>Digital Print Uploads</t>
  </si>
  <si>
    <t>Total Paper Sheets Consumed</t>
  </si>
  <si>
    <t>Physical Xerox Orders</t>
  </si>
  <si>
    <t>2. DAILY REVENUE &amp; PRODUCTION BREAKDOWN</t>
  </si>
  <si>
    <t>Date</t>
  </si>
  <si>
    <t>Orders</t>
  </si>
  <si>
    <t>B&amp;W Jobs</t>
  </si>
  <si>
    <t>Color Jobs</t>
  </si>
  <si>
    <t>Pages Printed</t>
  </si>
  <si>
    <t>Sheets Used</t>
  </si>
  <si>
    <t>Print Rev (₹)</t>
  </si>
  <si>
    <t>Binding Rev (₹)</t>
  </si>
  <si>
    <t>Total Daily Rev (₹)</t>
  </si>
  <si>
    <t>2026-09-03</t>
  </si>
  <si>
    <t>2026-09-02</t>
  </si>
  <si>
    <t>TOTAL</t>
  </si>
  <si>
    <t>=SUM(B16:B17)</t>
  </si>
  <si>
    <t>=SUM(C16:C17)</t>
  </si>
  <si>
    <t>=SUM(D16:D17)</t>
  </si>
  <si>
    <t>=SUM(E16:E17)</t>
  </si>
  <si>
    <t>=SUM(F16:F17)</t>
  </si>
  <si>
    <t>=SUM(H16:H17)</t>
  </si>
  <si>
    <t>=SUM(I16:I17)</t>
  </si>
  <si>
    <t>Token #</t>
  </si>
  <si>
    <t>Transaction / Razorpay ID</t>
  </si>
  <si>
    <t>Time</t>
  </si>
  <si>
    <t>Student Name</t>
  </si>
  <si>
    <t>Register Number</t>
  </si>
  <si>
    <t>Department</t>
  </si>
  <si>
    <t>Order Type</t>
  </si>
  <si>
    <t>Document / File Name</t>
  </si>
  <si>
    <t>Color Mode</t>
  </si>
  <si>
    <t>Sides</t>
  </si>
  <si>
    <t>Page Size</t>
  </si>
  <si>
    <t>Pages</t>
  </si>
  <si>
    <t>Copies</t>
  </si>
  <si>
    <t>Total Pages</t>
  </si>
  <si>
    <t>Binding</t>
  </si>
  <si>
    <t>Binding Fee (₹)</t>
  </si>
  <si>
    <t>Print Fee (₹)</t>
  </si>
  <si>
    <t>Total Amount (₹)</t>
  </si>
  <si>
    <t>Payment</t>
  </si>
  <si>
    <t>Fulfillment</t>
  </si>
  <si>
    <t>#SECE-4214</t>
  </si>
  <si>
    <t>pay_TXY9Tvub9FZWNn</t>
  </si>
  <si>
    <t>3/9/2026</t>
  </si>
  <si>
    <t>5:06:38 pm</t>
  </si>
  <si>
    <t>m j</t>
  </si>
  <si>
    <t>722825106074</t>
  </si>
  <si>
    <t>ECE</t>
  </si>
  <si>
    <t>Digital Upload</t>
  </si>
  <si>
    <t>SRCAS MAIN(last).pdf</t>
  </si>
  <si>
    <t>B&amp;W</t>
  </si>
  <si>
    <t>Single Sided</t>
  </si>
  <si>
    <t>A4</t>
  </si>
  <si>
    <t>None</t>
  </si>
  <si>
    <t>PAID</t>
  </si>
  <si>
    <t>WAITING</t>
  </si>
  <si>
    <t>#SECE-1393</t>
  </si>
  <si>
    <t>pay_TXWF9j4EBpkODP</t>
  </si>
  <si>
    <t>3:14:28 pm</t>
  </si>
  <si>
    <t>karthegaeyan k</t>
  </si>
  <si>
    <t>722825106069</t>
  </si>
  <si>
    <t>20260902_30925PMByGPSMapCamera.pdf</t>
  </si>
  <si>
    <t>COLLECTED</t>
  </si>
  <si>
    <t>#SECE-1091</t>
  </si>
  <si>
    <t>pay_TXVcoPIGkftC0K</t>
  </si>
  <si>
    <t>2:38:11 pm</t>
  </si>
  <si>
    <t>KAVIN G S</t>
  </si>
  <si>
    <t>722825106073</t>
  </si>
  <si>
    <t>Screenshot_20260902-232234_Chrome.pdf</t>
  </si>
  <si>
    <t>#SECE-6454</t>
  </si>
  <si>
    <t>pay_TXGb9ZwAXZvJd0</t>
  </si>
  <si>
    <t>2/9/2026</t>
  </si>
  <si>
    <t>11:56:15 pm</t>
  </si>
  <si>
    <t>IMG_20260902_102629719_HDR.pdf</t>
  </si>
  <si>
    <t>#SECE-1252</t>
  </si>
  <si>
    <t>pay_TXGJ2dAad6YVPb</t>
  </si>
  <si>
    <t>11:39:04 pm</t>
  </si>
  <si>
    <t>MyResume.pdf</t>
  </si>
  <si>
    <t>TOTALS</t>
  </si>
  <si>
    <t>=SUM(O2:O6)</t>
  </si>
  <si>
    <t>=SUM(P2:P6)</t>
  </si>
  <si>
    <t>=SUM(R2:R6)</t>
  </si>
  <si>
    <t>=SUM(S2:S6)</t>
  </si>
  <si>
    <t>=SUM(T2:T6)</t>
  </si>
  <si>
    <t>Total Orders</t>
  </si>
  <si>
    <t>B&amp;W Revenue (₹)</t>
  </si>
  <si>
    <t>Color Revenue (₹)</t>
  </si>
  <si>
    <t>Binding Revenue (₹)</t>
  </si>
  <si>
    <t>Total Revenue (₹)</t>
  </si>
  <si>
    <t>Revenue Share</t>
  </si>
  <si>
    <t>=SUM(B2:B2)</t>
  </si>
  <si>
    <t>=SUM(C2:C2)</t>
  </si>
  <si>
    <t>=SUM(D2:D2)</t>
  </si>
  <si>
    <t>=SUM(E2:E2)</t>
  </si>
  <si>
    <t>=SUM(F2:F2)</t>
  </si>
  <si>
    <t>=SUM(G2:G2)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</si>
</sst>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.00"/>
    <numFmt numFmtId="165" formatCode="0.0%"/>
  </numFmts>
  <fonts count="12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93C5FD"/>
      <name val="Segoe UI"/>
    </font>
    <font>
      <i/>
      <sz val="9.5"/>
      <color rgb="FFCBD5E1"/>
      <name val="Segoe UI"/>
    </font>
    <font>
      <b/>
      <sz val="11"/>
      <color rgb="FF1E40AF"/>
      <name val="Segoe UI"/>
    </font>
    <font>
      <b/>
      <sz val="10"/>
      <color rgb="FFFFFFFF"/>
      <name val="Segoe UI"/>
    </font>
    <font>
      <b/>
      <sz val="10"/>
      <name val="Segoe UI"/>
    </font>
    <font>
      <b/>
      <sz val="10"/>
      <color rgb="FF15803D"/>
      <name val="Segoe UI"/>
    </font>
    <font>
      <sz val="10"/>
      <name val="Segoe UI"/>
    </font>
    <font>
      <b/>
      <sz val="10"/>
      <color rgb="FF000000"/>
      <name val="Segoe UI"/>
    </font>
    <font>
      <sz val="9.5"/>
      <name val="Segoe UI"/>
    </font>
    <font>
      <b/>
      <sz val="10"/>
      <color rgb="FF0F172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0F172A"/>
      </top>
      <bottom style="medium">
        <color rgb="FF0F172A"/>
      </bottom>
      <diagonal/>
    </border>
    <border>
      <left/>
      <right/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6" fillId="4" borderId="1" xfId="0" applyFont="1" applyFill="1" applyBorder="1"/>
    <xf numFmtId="164" fontId="7" fillId="4" borderId="1" xfId="0" applyNumberFormat="1" applyFont="1" applyFill="1" applyBorder="1" applyAlignment="1">
      <alignment horizontal="right"/>
    </xf>
    <xf numFmtId="0" fontId="8" fillId="4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3" fontId="9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3" fontId="9" fillId="4" borderId="1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/>
    </xf>
    <xf numFmtId="3" fontId="10" fillId="5" borderId="1" xfId="0" applyNumberFormat="1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0" fontId="11" fillId="6" borderId="3" xfId="0" applyFont="1" applyFill="1" applyBorder="1" applyAlignment="1">
      <alignment horizontal="center"/>
    </xf>
    <xf numFmtId="3" fontId="11" fillId="6" borderId="3" xfId="0" applyNumberFormat="1" applyFont="1" applyFill="1" applyBorder="1" applyAlignment="1">
      <alignment horizontal="right"/>
    </xf>
    <xf numFmtId="164" fontId="11" fillId="6" borderId="3" xfId="0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6" borderId="3" xfId="0" applyFont="1" applyFill="1" applyBorder="1"/>
    <xf numFmtId="3" fontId="11" fillId="6" borderId="3" xfId="0" applyNumberFormat="1" applyFont="1" applyFill="1" applyBorder="1"/>
    <xf numFmtId="164" fontId="11" fillId="6" borderId="3" xfId="0" applyNumberFormat="1" applyFont="1" applyFill="1" applyBorder="1"/>
    <xf numFmtId="0" fontId="5" fillId="3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indent="1"/>
    </xf>
    <xf numFmtId="165" fontId="10" fillId="5" borderId="1" xfId="0" applyNumberFormat="1" applyFont="1" applyFill="1" applyBorder="1" applyAlignment="1">
      <alignment horizontal="right"/>
    </xf>
    <xf numFmtId="0" fontId="11" fillId="6" borderId="3" xfId="0" applyFont="1" applyFill="1" applyBorder="1" applyAlignment="1">
      <alignment horizontal="left" indent="1"/>
    </xf>
    <xf numFmtId="165" fontId="11" fillId="6" borderId="3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8" workbookViewId="0">
      <selection activeCell="H11" sqref="H11"/>
    </sheetView>
  </sheetViews>
  <sheetFormatPr defaultRowHeight="14.4"/>
  <cols>
    <col min="1" max="1" width="16" customWidth="1"/>
    <col min="2" max="4" width="14" customWidth="1"/>
    <col min="5" max="8" width="16" customWidth="1"/>
    <col min="9" max="9" width="20" customWidth="1"/>
  </cols>
  <sheetData>
    <row r="1" spans="1:9" ht="28.0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3" spans="1:9" ht="19.95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</row>
    <row r="5" spans="1:9" ht="16.8">
      <c r="A5" s="1" t="s">
        <v>3</v>
      </c>
    </row>
    <row r="6" spans="1:9" ht="19.95" customHeight="1">
      <c r="A6" s="2" t="s">
        <v>4</v>
      </c>
      <c r="B6" s="3" t="s">
        <v>5</v>
      </c>
      <c r="C6" t="s">
        <v>6</v>
      </c>
      <c r="D6" t="s">
        <v>6</v>
      </c>
      <c r="E6" s="2" t="s">
        <v>7</v>
      </c>
      <c r="F6" s="3" t="s">
        <v>8</v>
      </c>
    </row>
    <row r="7" spans="1:9" ht="19.95" customHeight="1">
      <c r="A7" s="4" t="s">
        <v>9</v>
      </c>
      <c r="B7" s="5">
        <v>56</v>
      </c>
      <c r="C7" t="s">
        <v>6</v>
      </c>
      <c r="D7" t="s">
        <v>6</v>
      </c>
      <c r="E7" s="6" t="s">
        <v>10</v>
      </c>
      <c r="F7" s="7">
        <v>56</v>
      </c>
    </row>
    <row r="8" spans="1:9" ht="19.95" customHeight="1">
      <c r="A8" s="8" t="s">
        <v>11</v>
      </c>
      <c r="B8" s="9">
        <v>5</v>
      </c>
      <c r="C8" t="s">
        <v>6</v>
      </c>
      <c r="D8" t="s">
        <v>6</v>
      </c>
      <c r="E8" s="8" t="s">
        <v>12</v>
      </c>
      <c r="F8" s="10">
        <v>0</v>
      </c>
    </row>
    <row r="9" spans="1:9" ht="19.95" customHeight="1">
      <c r="A9" s="6" t="s">
        <v>13</v>
      </c>
      <c r="B9" s="11">
        <v>11.2</v>
      </c>
      <c r="C9" t="s">
        <v>6</v>
      </c>
      <c r="D9" t="s">
        <v>6</v>
      </c>
      <c r="E9" s="6" t="s">
        <v>14</v>
      </c>
      <c r="F9" s="7">
        <v>0</v>
      </c>
    </row>
    <row r="10" spans="1:9" ht="19.95" customHeight="1">
      <c r="A10" s="8" t="s">
        <v>15</v>
      </c>
      <c r="B10" s="9">
        <v>28</v>
      </c>
      <c r="C10" t="s">
        <v>6</v>
      </c>
      <c r="D10" t="s">
        <v>6</v>
      </c>
      <c r="E10" s="8" t="s">
        <v>16</v>
      </c>
      <c r="F10" s="10">
        <v>56</v>
      </c>
    </row>
    <row r="11" spans="1:9" ht="19.95" customHeight="1">
      <c r="A11" s="6" t="s">
        <v>17</v>
      </c>
      <c r="B11" s="12">
        <v>28</v>
      </c>
      <c r="C11" t="s">
        <v>6</v>
      </c>
      <c r="D11" t="s">
        <v>6</v>
      </c>
      <c r="E11" s="6" t="s">
        <v>18</v>
      </c>
      <c r="F11" s="7">
        <v>0</v>
      </c>
    </row>
    <row r="14" spans="1:9" ht="16.8">
      <c r="A14" s="1" t="s">
        <v>19</v>
      </c>
    </row>
    <row r="15" spans="1:9" ht="24" customHeight="1">
      <c r="A15" s="13" t="s">
        <v>20</v>
      </c>
      <c r="B15" s="14" t="s">
        <v>21</v>
      </c>
      <c r="C15" s="14" t="s">
        <v>22</v>
      </c>
      <c r="D15" s="14" t="s">
        <v>23</v>
      </c>
      <c r="E15" s="14" t="s">
        <v>24</v>
      </c>
      <c r="F15" s="14" t="s">
        <v>25</v>
      </c>
      <c r="G15" s="14" t="s">
        <v>26</v>
      </c>
      <c r="H15" s="14" t="s">
        <v>27</v>
      </c>
      <c r="I15" s="14" t="s">
        <v>28</v>
      </c>
    </row>
    <row r="16" spans="1:9" ht="19.05" customHeight="1">
      <c r="A16" s="15" t="s">
        <v>29</v>
      </c>
      <c r="B16" s="16">
        <v>3</v>
      </c>
      <c r="C16" s="16">
        <v>3</v>
      </c>
      <c r="D16" s="16">
        <v>0</v>
      </c>
      <c r="E16" s="16">
        <v>22</v>
      </c>
      <c r="F16" s="16">
        <v>22</v>
      </c>
      <c r="G16" s="17">
        <v>44</v>
      </c>
      <c r="H16" s="17">
        <v>0</v>
      </c>
      <c r="I16" s="17">
        <v>44</v>
      </c>
    </row>
    <row r="17" spans="1:9" ht="19.05" customHeight="1">
      <c r="A17" s="18" t="s">
        <v>30</v>
      </c>
      <c r="B17" s="19">
        <v>2</v>
      </c>
      <c r="C17" s="19">
        <v>2</v>
      </c>
      <c r="D17" s="19">
        <v>0</v>
      </c>
      <c r="E17" s="19">
        <v>6</v>
      </c>
      <c r="F17" s="19">
        <v>6</v>
      </c>
      <c r="G17" s="20">
        <v>12</v>
      </c>
      <c r="H17" s="20">
        <v>0</v>
      </c>
      <c r="I17" s="20">
        <v>12</v>
      </c>
    </row>
    <row r="18" spans="1:9" ht="24" customHeight="1">
      <c r="A18" s="21" t="s">
        <v>31</v>
      </c>
      <c r="B18" s="22" t="s">
        <v>32</v>
      </c>
      <c r="C18" s="22" t="s">
        <v>33</v>
      </c>
      <c r="D18" s="22" t="s">
        <v>34</v>
      </c>
      <c r="E18" s="22" t="s">
        <v>35</v>
      </c>
      <c r="F18" s="22" t="s">
        <v>36</v>
      </c>
      <c r="G18" s="23">
        <f>I12</f>
        <v>0</v>
      </c>
      <c r="H18" s="23" t="s">
        <v>37</v>
      </c>
      <c r="I18" s="23" t="s">
        <v>38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4" customWidth="1"/>
    <col min="3" max="3" width="13" customWidth="1"/>
    <col min="4" max="4" width="12" customWidth="1"/>
    <col min="5" max="5" width="22" customWidth="1"/>
    <col min="6" max="6" width="16" customWidth="1"/>
    <col min="7" max="8" width="14" customWidth="1"/>
    <col min="9" max="9" width="28" customWidth="1"/>
    <col min="10" max="10" width="12" customWidth="1"/>
    <col min="11" max="11" width="14" customWidth="1"/>
    <col min="12" max="12" width="11" customWidth="1"/>
    <col min="15" max="16" width="13" customWidth="1"/>
    <col min="17" max="17" width="12" customWidth="1"/>
    <col min="18" max="19" width="15" customWidth="1"/>
    <col min="20" max="20" width="17" customWidth="1"/>
    <col min="21" max="21" width="12" customWidth="1"/>
    <col min="22" max="22" width="13" customWidth="1"/>
  </cols>
  <sheetData>
    <row r="1" spans="1:22" ht="25.95" customHeight="1">
      <c r="A1" s="13" t="s">
        <v>39</v>
      </c>
      <c r="B1" s="13" t="s">
        <v>40</v>
      </c>
      <c r="C1" s="13" t="s">
        <v>20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13" t="s">
        <v>46</v>
      </c>
      <c r="J1" s="13" t="s">
        <v>47</v>
      </c>
      <c r="K1" s="13" t="s">
        <v>48</v>
      </c>
      <c r="L1" s="13" t="s">
        <v>49</v>
      </c>
      <c r="M1" s="13" t="s">
        <v>50</v>
      </c>
      <c r="N1" s="13" t="s">
        <v>51</v>
      </c>
      <c r="O1" s="13" t="s">
        <v>52</v>
      </c>
      <c r="P1" s="13" t="s">
        <v>25</v>
      </c>
      <c r="Q1" s="13" t="s">
        <v>53</v>
      </c>
      <c r="R1" s="13" t="s">
        <v>54</v>
      </c>
      <c r="S1" s="13" t="s">
        <v>55</v>
      </c>
      <c r="T1" s="13" t="s">
        <v>56</v>
      </c>
      <c r="U1" s="13" t="s">
        <v>57</v>
      </c>
      <c r="V1" s="13" t="s">
        <v>58</v>
      </c>
    </row>
    <row r="2" spans="1:22" ht="19.95" customHeight="1">
      <c r="A2" s="15" t="s">
        <v>59</v>
      </c>
      <c r="B2" s="24" t="s">
        <v>60</v>
      </c>
      <c r="C2" s="15" t="s">
        <v>61</v>
      </c>
      <c r="D2" s="15" t="s">
        <v>62</v>
      </c>
      <c r="E2" s="24" t="s">
        <v>63</v>
      </c>
      <c r="F2" s="15" t="s">
        <v>64</v>
      </c>
      <c r="G2" s="15" t="s">
        <v>65</v>
      </c>
      <c r="H2" s="24" t="s">
        <v>66</v>
      </c>
      <c r="I2" s="24" t="s">
        <v>67</v>
      </c>
      <c r="J2" s="15" t="s">
        <v>68</v>
      </c>
      <c r="K2" s="24" t="s">
        <v>69</v>
      </c>
      <c r="L2" s="15" t="s">
        <v>70</v>
      </c>
      <c r="M2" s="16">
        <v>16</v>
      </c>
      <c r="N2" s="16">
        <v>1</v>
      </c>
      <c r="O2" s="16">
        <v>16</v>
      </c>
      <c r="P2" s="16">
        <v>16</v>
      </c>
      <c r="Q2" s="15" t="s">
        <v>71</v>
      </c>
      <c r="R2" s="17">
        <v>0</v>
      </c>
      <c r="S2" s="17">
        <v>32</v>
      </c>
      <c r="T2" s="17">
        <v>32</v>
      </c>
      <c r="U2" s="15" t="s">
        <v>72</v>
      </c>
      <c r="V2" s="15" t="s">
        <v>73</v>
      </c>
    </row>
    <row r="3" spans="1:22" ht="19.95" customHeight="1">
      <c r="A3" s="18" t="s">
        <v>74</v>
      </c>
      <c r="B3" s="25" t="s">
        <v>75</v>
      </c>
      <c r="C3" s="18" t="s">
        <v>61</v>
      </c>
      <c r="D3" s="18" t="s">
        <v>76</v>
      </c>
      <c r="E3" s="25" t="s">
        <v>77</v>
      </c>
      <c r="F3" s="18" t="s">
        <v>78</v>
      </c>
      <c r="G3" s="18" t="s">
        <v>65</v>
      </c>
      <c r="H3" s="25" t="s">
        <v>66</v>
      </c>
      <c r="I3" s="25" t="s">
        <v>79</v>
      </c>
      <c r="J3" s="18" t="s">
        <v>68</v>
      </c>
      <c r="K3" s="25" t="s">
        <v>69</v>
      </c>
      <c r="L3" s="18" t="s">
        <v>70</v>
      </c>
      <c r="M3" s="19">
        <v>1</v>
      </c>
      <c r="N3" s="19">
        <v>5</v>
      </c>
      <c r="O3" s="19">
        <v>5</v>
      </c>
      <c r="P3" s="19">
        <v>5</v>
      </c>
      <c r="Q3" s="18" t="s">
        <v>71</v>
      </c>
      <c r="R3" s="20">
        <v>0</v>
      </c>
      <c r="S3" s="20">
        <v>10</v>
      </c>
      <c r="T3" s="20">
        <v>10</v>
      </c>
      <c r="U3" s="18" t="s">
        <v>72</v>
      </c>
      <c r="V3" s="18" t="s">
        <v>80</v>
      </c>
    </row>
    <row r="4" spans="1:22" ht="19.95" customHeight="1">
      <c r="A4" s="15" t="s">
        <v>81</v>
      </c>
      <c r="B4" s="24" t="s">
        <v>82</v>
      </c>
      <c r="C4" s="15" t="s">
        <v>61</v>
      </c>
      <c r="D4" s="15" t="s">
        <v>83</v>
      </c>
      <c r="E4" s="24" t="s">
        <v>84</v>
      </c>
      <c r="F4" s="15" t="s">
        <v>85</v>
      </c>
      <c r="G4" s="15" t="s">
        <v>65</v>
      </c>
      <c r="H4" s="24" t="s">
        <v>66</v>
      </c>
      <c r="I4" s="24" t="s">
        <v>86</v>
      </c>
      <c r="J4" s="15" t="s">
        <v>68</v>
      </c>
      <c r="K4" s="24" t="s">
        <v>69</v>
      </c>
      <c r="L4" s="15" t="s">
        <v>70</v>
      </c>
      <c r="M4" s="16">
        <v>1</v>
      </c>
      <c r="N4" s="16">
        <v>1</v>
      </c>
      <c r="O4" s="16">
        <v>1</v>
      </c>
      <c r="P4" s="16">
        <v>1</v>
      </c>
      <c r="Q4" s="15" t="s">
        <v>71</v>
      </c>
      <c r="R4" s="17">
        <v>0</v>
      </c>
      <c r="S4" s="17">
        <v>2</v>
      </c>
      <c r="T4" s="17">
        <v>2</v>
      </c>
      <c r="U4" s="15" t="s">
        <v>72</v>
      </c>
      <c r="V4" s="15" t="s">
        <v>80</v>
      </c>
    </row>
    <row r="5" spans="1:22" ht="19.95" customHeight="1">
      <c r="A5" s="18" t="s">
        <v>87</v>
      </c>
      <c r="B5" s="25" t="s">
        <v>88</v>
      </c>
      <c r="C5" s="18" t="s">
        <v>89</v>
      </c>
      <c r="D5" s="18" t="s">
        <v>90</v>
      </c>
      <c r="E5" s="25" t="s">
        <v>84</v>
      </c>
      <c r="F5" s="18" t="s">
        <v>85</v>
      </c>
      <c r="G5" s="18" t="s">
        <v>65</v>
      </c>
      <c r="H5" s="25" t="s">
        <v>66</v>
      </c>
      <c r="I5" s="25" t="s">
        <v>91</v>
      </c>
      <c r="J5" s="18" t="s">
        <v>68</v>
      </c>
      <c r="K5" s="25" t="s">
        <v>69</v>
      </c>
      <c r="L5" s="18" t="s">
        <v>70</v>
      </c>
      <c r="M5" s="19">
        <v>1</v>
      </c>
      <c r="N5" s="19">
        <v>1</v>
      </c>
      <c r="O5" s="19">
        <v>1</v>
      </c>
      <c r="P5" s="19">
        <v>1</v>
      </c>
      <c r="Q5" s="18" t="s">
        <v>71</v>
      </c>
      <c r="R5" s="20">
        <v>0</v>
      </c>
      <c r="S5" s="20">
        <v>2</v>
      </c>
      <c r="T5" s="20">
        <v>2</v>
      </c>
      <c r="U5" s="18" t="s">
        <v>72</v>
      </c>
      <c r="V5" s="18" t="s">
        <v>80</v>
      </c>
    </row>
    <row r="6" spans="1:22" ht="19.95" customHeight="1">
      <c r="A6" s="15" t="s">
        <v>92</v>
      </c>
      <c r="B6" s="24" t="s">
        <v>93</v>
      </c>
      <c r="C6" s="15" t="s">
        <v>89</v>
      </c>
      <c r="D6" s="15" t="s">
        <v>94</v>
      </c>
      <c r="E6" s="24" t="s">
        <v>84</v>
      </c>
      <c r="F6" s="15" t="s">
        <v>85</v>
      </c>
      <c r="G6" s="15" t="s">
        <v>65</v>
      </c>
      <c r="H6" s="24" t="s">
        <v>66</v>
      </c>
      <c r="I6" s="24" t="s">
        <v>95</v>
      </c>
      <c r="J6" s="15" t="s">
        <v>68</v>
      </c>
      <c r="K6" s="24" t="s">
        <v>69</v>
      </c>
      <c r="L6" s="15" t="s">
        <v>70</v>
      </c>
      <c r="M6" s="16">
        <v>5</v>
      </c>
      <c r="N6" s="16">
        <v>1</v>
      </c>
      <c r="O6" s="16">
        <v>5</v>
      </c>
      <c r="P6" s="16">
        <v>5</v>
      </c>
      <c r="Q6" s="15" t="s">
        <v>71</v>
      </c>
      <c r="R6" s="17">
        <v>0</v>
      </c>
      <c r="S6" s="17">
        <v>10</v>
      </c>
      <c r="T6" s="17">
        <v>10</v>
      </c>
      <c r="U6" s="15" t="s">
        <v>72</v>
      </c>
      <c r="V6" s="15" t="s">
        <v>80</v>
      </c>
    </row>
    <row r="7" spans="1:22" ht="24" customHeight="1">
      <c r="A7" s="26" t="s">
        <v>96</v>
      </c>
      <c r="O7" s="27" t="s">
        <v>97</v>
      </c>
      <c r="P7" s="27" t="s">
        <v>98</v>
      </c>
      <c r="R7" s="28" t="s">
        <v>99</v>
      </c>
      <c r="S7" s="28" t="s">
        <v>100</v>
      </c>
      <c r="T7" s="28" t="s">
        <v>101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2" customWidth="1"/>
    <col min="2" max="2" width="14" customWidth="1"/>
    <col min="3" max="3" width="15" customWidth="1"/>
    <col min="4" max="6" width="18" customWidth="1"/>
    <col min="7" max="7" width="20" customWidth="1"/>
    <col min="8" max="8" width="16" customWidth="1"/>
  </cols>
  <sheetData>
    <row r="1" spans="1:8" ht="25.95" customHeight="1">
      <c r="A1" s="29" t="s">
        <v>44</v>
      </c>
      <c r="B1" s="14" t="s">
        <v>102</v>
      </c>
      <c r="C1" s="14" t="s">
        <v>24</v>
      </c>
      <c r="D1" s="14" t="s">
        <v>103</v>
      </c>
      <c r="E1" s="14" t="s">
        <v>104</v>
      </c>
      <c r="F1" s="14" t="s">
        <v>105</v>
      </c>
      <c r="G1" s="14" t="s">
        <v>106</v>
      </c>
      <c r="H1" s="14" t="s">
        <v>107</v>
      </c>
    </row>
    <row r="2" spans="1:8" ht="19.95" customHeight="1">
      <c r="A2" s="30" t="s">
        <v>65</v>
      </c>
      <c r="B2" s="16">
        <v>5</v>
      </c>
      <c r="C2" s="16">
        <v>28</v>
      </c>
      <c r="D2" s="17">
        <v>56</v>
      </c>
      <c r="E2" s="17">
        <v>0</v>
      </c>
      <c r="F2" s="17">
        <v>0</v>
      </c>
      <c r="G2" s="17">
        <v>56</v>
      </c>
      <c r="H2" s="31">
        <v>1</v>
      </c>
    </row>
    <row r="3" spans="1:8" ht="24" customHeight="1">
      <c r="A3" s="32" t="s">
        <v>31</v>
      </c>
      <c r="B3" s="22" t="s">
        <v>108</v>
      </c>
      <c r="C3" s="22" t="s">
        <v>109</v>
      </c>
      <c r="D3" s="23" t="s">
        <v>110</v>
      </c>
      <c r="E3" s="23" t="s">
        <v>111</v>
      </c>
      <c r="F3" s="23" t="s">
        <v>112</v>
      </c>
      <c r="G3" s="23" t="s">
        <v>113</v>
      </c>
      <c r="H3" s="33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Earnings Summary</vt:lpstr>
      <vt:lpstr>💳 Itemized Transactions</vt:lpstr>
      <vt:lpstr>🏛️ Department Analytics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2026-09-08T11:49:20Z</dcterms:created>
  <dcterms:modified xsi:type="dcterms:W3CDTF">2026-09-08T11:50:31Z</dcterms:modified>
  <cp:category/>
</cp:coreProperties>
</file>